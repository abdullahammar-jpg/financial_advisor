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ta-rata gaji tahunan per sekt" sheetId="1" r:id="rId5"/>
    <sheet state="visible" name="transf ln" sheetId="2" r:id="rId6"/>
  </sheets>
  <definedNames/>
  <calcPr/>
</workbook>
</file>

<file path=xl/sharedStrings.xml><?xml version="1.0" encoding="utf-8"?>
<sst xmlns="http://schemas.openxmlformats.org/spreadsheetml/2006/main" count="80" uniqueCount="43">
  <si>
    <t>Sektor</t>
  </si>
  <si>
    <t>Rata-rata Gaji Tahunan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</si>
  <si>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</si>
  <si>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</si>
  <si>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</si>
  <si>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</si>
  <si>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</si>
  <si>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</si>
  <si>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</si>
  <si>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</si>
  <si>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</si>
  <si>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</si>
  <si>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</si>
  <si>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</si>
  <si>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M, N</t>
  </si>
  <si>
    <t>O</t>
  </si>
  <si>
    <t>P</t>
  </si>
  <si>
    <t>Q</t>
  </si>
  <si>
    <t>R, S, T, U</t>
  </si>
  <si>
    <t>Rata-Rata</t>
  </si>
  <si>
    <t>Kode Sektor</t>
  </si>
  <si>
    <t>Deskripsi Lapangan Pekerjaan Utama</t>
  </si>
  <si>
    <t>Pertanian, Kehutanan, dan Perikanan</t>
  </si>
  <si>
    <t>Pertambangan dan Penggalian</t>
  </si>
  <si>
    <t>Industri Pengolahan</t>
  </si>
  <si>
    <t>Pengadaan Listrik, Gas, Uap/Air Panas dan Udara Dingin</t>
  </si>
  <si>
    <t>Treatment Air, Treatment Air Limbah, Treatment dan Pemulihan Material Sampah, dan Aktivitas Remediasi</t>
  </si>
  <si>
    <t>Konstruksi</t>
  </si>
  <si>
    <t>Perdagangan Besar dan Eceran; Reparasi Mobil dan Sepeda Motor</t>
  </si>
  <si>
    <t>Pengangkutan dan Pergudangan</t>
  </si>
  <si>
    <t>Penyediaan Akomodasi dan Penyedia Makan Minum</t>
  </si>
  <si>
    <t>Informasi dan Komunikasi</t>
  </si>
  <si>
    <t>Aktivitas Keuangan dan Asuransi</t>
  </si>
  <si>
    <t>Real Estat</t>
  </si>
  <si>
    <t>Aktivitas Profesional dan Perusahaan</t>
  </si>
  <si>
    <t>Administrasi Pemerintahan, Pertahanan, dan Jaminan Sosial Wajib</t>
  </si>
  <si>
    <t>Pendidikan</t>
  </si>
  <si>
    <t>Aktivitas Kesehatan dan Kegiatan Sosial</t>
  </si>
  <si>
    <t>Aktivitas Jasa Lainnya</t>
  </si>
  <si>
    <t>Slope</t>
  </si>
  <si>
    <t>Growth Rate</t>
  </si>
  <si>
    <t>Growth Rate (%)</t>
  </si>
  <si>
    <t>R^2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</si>
</sst>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  <font>
      <color rgb="FF1F1F1F"/>
      <name val="&quot;Google Sans Text&quot;"/>
    </font>
    <font>
      <b/>
      <color rgb="FF1F1F1F"/>
      <name val="&quot;Google Sans Text&quot;"/>
    </font>
    <font>
      <color rgb="FF1F1F1F"/>
      <name val="Google Sans Text"/>
    </font>
    <font>
      <color theme="1"/>
      <name val="Arial"/>
    </font>
    <font>
      <b/>
      <color rgb="FF1F1F1F"/>
      <name val="Google Sans Text"/>
    </font>
    <font>
      <sz val="12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right" readingOrder="0" shrinkToFit="0" vertical="bottom" wrapText="0"/>
    </xf>
    <xf borderId="0" fillId="0" fontId="1" numFmtId="0" xfId="0" applyFont="1"/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B2" s="2">
        <v>2015.0</v>
      </c>
      <c r="C2" s="3">
        <v>2016.0</v>
      </c>
      <c r="D2" s="3">
        <v>2017.0</v>
      </c>
      <c r="E2" s="2">
        <v>2018.0</v>
      </c>
      <c r="F2" s="3">
        <v>2019.0</v>
      </c>
      <c r="G2" s="3">
        <v>2020.0</v>
      </c>
      <c r="H2" s="2">
        <v>2021.0</v>
      </c>
      <c r="I2" s="3">
        <v>2022.0</v>
      </c>
      <c r="J2" s="3">
        <v>2023.0</v>
      </c>
      <c r="K2" s="2">
        <v>2024.0</v>
      </c>
      <c r="L2" s="3">
        <v>2025.0</v>
      </c>
    </row>
    <row r="3">
      <c r="A3" s="4" t="s">
        <v>2</v>
      </c>
      <c r="B3" s="5">
        <v>1265700.0</v>
      </c>
      <c r="C3" s="5">
        <v>1542341.0</v>
      </c>
      <c r="D3" s="5">
        <v>1761803.0</v>
      </c>
      <c r="E3" s="5">
        <v>1824738.0</v>
      </c>
      <c r="F3" s="5">
        <v>2041145.0</v>
      </c>
      <c r="G3" s="5">
        <v>1989195.0</v>
      </c>
      <c r="H3" s="5">
        <v>1951747.0</v>
      </c>
      <c r="I3" s="5">
        <v>2081590.0</v>
      </c>
      <c r="J3" s="5">
        <v>2218558.0</v>
      </c>
      <c r="K3" s="5">
        <v>2321879.0</v>
      </c>
      <c r="L3" s="5">
        <v>2393809.0</v>
      </c>
    </row>
    <row r="4">
      <c r="A4" s="4" t="s">
        <v>3</v>
      </c>
      <c r="B4" s="5">
        <v>3610765.0</v>
      </c>
      <c r="C4" s="5">
        <v>4222708.0</v>
      </c>
      <c r="D4" s="5">
        <v>4358002.0</v>
      </c>
      <c r="E4" s="5">
        <v>4381899.0</v>
      </c>
      <c r="F4" s="5">
        <v>4902251.0</v>
      </c>
      <c r="G4" s="5">
        <v>4788831.0</v>
      </c>
      <c r="H4" s="5">
        <v>4312355.0</v>
      </c>
      <c r="I4" s="5">
        <v>4571895.0</v>
      </c>
      <c r="J4" s="5">
        <v>4693515.0</v>
      </c>
      <c r="K4" s="5">
        <v>5086714.0</v>
      </c>
      <c r="L4" s="5">
        <v>5034904.0</v>
      </c>
    </row>
    <row r="5">
      <c r="A5" s="4" t="s">
        <v>4</v>
      </c>
      <c r="B5" s="5">
        <v>1730596.0</v>
      </c>
      <c r="C5" s="5">
        <v>2180973.0</v>
      </c>
      <c r="D5" s="5">
        <v>2547268.0</v>
      </c>
      <c r="E5" s="5">
        <v>2591425.0</v>
      </c>
      <c r="F5" s="5">
        <v>2748055.0</v>
      </c>
      <c r="G5" s="5">
        <v>2726340.0</v>
      </c>
      <c r="H5" s="5">
        <v>2767730.0</v>
      </c>
      <c r="I5" s="5">
        <v>2918070.0</v>
      </c>
      <c r="J5" s="5">
        <v>3083971.0</v>
      </c>
      <c r="K5" s="5">
        <v>3136317.0</v>
      </c>
      <c r="L5" s="5">
        <v>3180362.0</v>
      </c>
    </row>
    <row r="6">
      <c r="A6" s="4" t="s">
        <v>5</v>
      </c>
      <c r="B6" s="5">
        <v>2710527.0</v>
      </c>
      <c r="C6" s="5">
        <v>3136878.0</v>
      </c>
      <c r="D6" s="5">
        <v>4023235.0</v>
      </c>
      <c r="E6" s="5">
        <v>3495366.0</v>
      </c>
      <c r="F6" s="5">
        <v>3902034.0</v>
      </c>
      <c r="G6" s="5">
        <v>3861682.0</v>
      </c>
      <c r="H6" s="5">
        <v>3913233.0</v>
      </c>
      <c r="I6" s="5">
        <v>4549862.0</v>
      </c>
      <c r="J6" s="5">
        <v>4309407.0</v>
      </c>
      <c r="K6" s="5">
        <v>4842654.0</v>
      </c>
      <c r="L6" s="5">
        <v>5056759.0</v>
      </c>
    </row>
    <row r="7">
      <c r="A7" s="4" t="s">
        <v>6</v>
      </c>
      <c r="B7" s="5">
        <v>1537601.0</v>
      </c>
      <c r="C7" s="5">
        <v>2336472.0</v>
      </c>
      <c r="D7" s="5">
        <v>3180252.0</v>
      </c>
      <c r="E7" s="5">
        <v>2754096.0</v>
      </c>
      <c r="F7" s="5">
        <v>2498009.0</v>
      </c>
      <c r="G7" s="5">
        <v>2574084.0</v>
      </c>
      <c r="H7" s="5">
        <v>2677455.0</v>
      </c>
      <c r="I7" s="5">
        <v>2703749.0</v>
      </c>
      <c r="J7" s="5">
        <v>2879474.0</v>
      </c>
      <c r="K7" s="5">
        <v>2820729.0</v>
      </c>
      <c r="L7" s="5">
        <v>2870748.0</v>
      </c>
    </row>
    <row r="8">
      <c r="A8" s="4" t="s">
        <v>7</v>
      </c>
      <c r="B8" s="5">
        <v>1992009.0</v>
      </c>
      <c r="C8" s="5">
        <v>2284244.0</v>
      </c>
      <c r="D8" s="5">
        <v>2498492.0</v>
      </c>
      <c r="E8" s="5">
        <v>2675308.0</v>
      </c>
      <c r="F8" s="5">
        <v>2820223.0</v>
      </c>
      <c r="G8" s="5">
        <v>2875817.0</v>
      </c>
      <c r="H8" s="5">
        <v>2777721.0</v>
      </c>
      <c r="I8" s="5">
        <v>2978779.0</v>
      </c>
      <c r="J8" s="5">
        <v>3097507.0</v>
      </c>
      <c r="K8" s="5">
        <v>3119598.0</v>
      </c>
      <c r="L8" s="5">
        <v>3222022.0</v>
      </c>
    </row>
    <row r="9">
      <c r="A9" s="4" t="s">
        <v>8</v>
      </c>
      <c r="B9" s="5">
        <v>1624199.0</v>
      </c>
      <c r="C9" s="5">
        <v>1939354.0</v>
      </c>
      <c r="D9" s="5">
        <v>2218325.0</v>
      </c>
      <c r="E9" s="5">
        <v>2275690.0</v>
      </c>
      <c r="F9" s="5">
        <v>2390998.0</v>
      </c>
      <c r="G9" s="5">
        <v>2396959.0</v>
      </c>
      <c r="H9" s="5">
        <v>2367568.0</v>
      </c>
      <c r="I9" s="5">
        <v>2583378.0</v>
      </c>
      <c r="J9" s="5">
        <v>2641224.0</v>
      </c>
      <c r="K9" s="5">
        <v>2695464.0</v>
      </c>
      <c r="L9" s="5">
        <v>2753458.0</v>
      </c>
    </row>
    <row r="10">
      <c r="A10" s="4" t="s">
        <v>9</v>
      </c>
      <c r="B10" s="5">
        <v>2393542.0</v>
      </c>
      <c r="C10" s="5">
        <v>2826662.0</v>
      </c>
      <c r="D10" s="5">
        <v>3166846.0</v>
      </c>
      <c r="E10" s="5">
        <v>3213703.0</v>
      </c>
      <c r="F10" s="5">
        <v>3506804.0</v>
      </c>
      <c r="G10" s="5">
        <v>3374436.0</v>
      </c>
      <c r="H10" s="5">
        <v>3140168.0</v>
      </c>
      <c r="I10" s="5">
        <v>3507921.0</v>
      </c>
      <c r="J10" s="5">
        <v>3688447.0</v>
      </c>
      <c r="K10" s="5">
        <v>3804552.0</v>
      </c>
      <c r="L10" s="5">
        <v>3907307.0</v>
      </c>
    </row>
    <row r="11">
      <c r="A11" s="4" t="s">
        <v>10</v>
      </c>
      <c r="B11" s="5">
        <v>1614793.0</v>
      </c>
      <c r="C11" s="5">
        <v>1880977.0</v>
      </c>
      <c r="D11" s="5">
        <v>2131028.0</v>
      </c>
      <c r="E11" s="5">
        <v>2170725.0</v>
      </c>
      <c r="F11" s="5">
        <v>2304219.0</v>
      </c>
      <c r="G11" s="5">
        <v>2108790.0</v>
      </c>
      <c r="H11" s="5">
        <v>1964341.0</v>
      </c>
      <c r="I11" s="5">
        <v>2217520.0</v>
      </c>
      <c r="J11" s="5">
        <v>2285155.0</v>
      </c>
      <c r="K11" s="5">
        <v>2340218.0</v>
      </c>
      <c r="L11" s="5">
        <v>2485804.0</v>
      </c>
    </row>
    <row r="12">
      <c r="A12" s="4" t="s">
        <v>11</v>
      </c>
      <c r="B12" s="5">
        <v>3668831.0</v>
      </c>
      <c r="C12" s="5">
        <v>3542343.0</v>
      </c>
      <c r="D12" s="5">
        <v>4304503.0</v>
      </c>
      <c r="E12" s="5">
        <v>4064805.0</v>
      </c>
      <c r="F12" s="5">
        <v>4181070.0</v>
      </c>
      <c r="G12" s="5">
        <v>4009323.0</v>
      </c>
      <c r="H12" s="5">
        <v>4089313.0</v>
      </c>
      <c r="I12" s="5">
        <v>4953131.0</v>
      </c>
      <c r="J12" s="5">
        <v>4745865.0</v>
      </c>
      <c r="K12" s="5">
        <v>4860097.0</v>
      </c>
      <c r="L12" s="5">
        <v>4705177.0</v>
      </c>
    </row>
    <row r="13">
      <c r="A13" s="4" t="s">
        <v>12</v>
      </c>
      <c r="B13" s="5">
        <v>3197938.0</v>
      </c>
      <c r="C13" s="5">
        <v>3570056.0</v>
      </c>
      <c r="D13" s="5">
        <v>4103617.0</v>
      </c>
      <c r="E13" s="5">
        <v>4255213.0</v>
      </c>
      <c r="F13" s="5">
        <v>4176326.0</v>
      </c>
      <c r="G13" s="5">
        <v>4149925.0</v>
      </c>
      <c r="H13" s="5">
        <v>4140023.0</v>
      </c>
      <c r="I13" s="5">
        <v>4930394.0</v>
      </c>
      <c r="J13" s="5">
        <v>4960740.0</v>
      </c>
      <c r="K13" s="5">
        <v>5119546.0</v>
      </c>
      <c r="L13" s="5">
        <v>4997320.0</v>
      </c>
    </row>
    <row r="14">
      <c r="A14" s="4" t="s">
        <v>13</v>
      </c>
      <c r="B14" s="5">
        <v>2858659.0</v>
      </c>
      <c r="C14" s="5">
        <v>3821336.0</v>
      </c>
      <c r="D14" s="5">
        <v>3196408.0</v>
      </c>
      <c r="E14" s="5">
        <v>3333105.0</v>
      </c>
      <c r="F14" s="5">
        <v>3687856.0</v>
      </c>
      <c r="G14" s="5">
        <v>3410555.0</v>
      </c>
      <c r="H14" s="5">
        <v>3553907.0</v>
      </c>
      <c r="I14" s="5">
        <v>4308920.0</v>
      </c>
      <c r="J14" s="5">
        <v>4540289.0</v>
      </c>
      <c r="K14" s="5">
        <v>4305720.0</v>
      </c>
      <c r="L14" s="5">
        <v>4220935.0</v>
      </c>
    </row>
    <row r="15">
      <c r="A15" s="4" t="s">
        <v>14</v>
      </c>
      <c r="B15" s="5">
        <v>2579960.0</v>
      </c>
      <c r="C15" s="5">
        <v>2884042.0</v>
      </c>
      <c r="D15" s="5">
        <v>3394436.0</v>
      </c>
      <c r="E15" s="5">
        <v>3324501.0</v>
      </c>
      <c r="F15" s="5">
        <v>3362435.0</v>
      </c>
      <c r="G15" s="5">
        <v>3369898.0</v>
      </c>
      <c r="H15" s="5">
        <v>3201338.0</v>
      </c>
      <c r="I15" s="5">
        <v>3719069.0</v>
      </c>
      <c r="J15" s="5">
        <v>3796657.0</v>
      </c>
      <c r="K15" s="5">
        <v>3934853.0</v>
      </c>
      <c r="L15" s="5">
        <v>4113422.0</v>
      </c>
    </row>
    <row r="16">
      <c r="A16" s="4" t="s">
        <v>15</v>
      </c>
      <c r="B16" s="5">
        <v>3110689.0</v>
      </c>
      <c r="C16" s="5">
        <v>3335824.0</v>
      </c>
      <c r="D16" s="5">
        <v>3932615.0</v>
      </c>
      <c r="E16" s="5">
        <v>3838691.0</v>
      </c>
      <c r="F16" s="5">
        <v>3871793.0</v>
      </c>
      <c r="G16" s="5">
        <v>3886064.0</v>
      </c>
      <c r="H16" s="5">
        <v>3906484.0</v>
      </c>
      <c r="I16" s="5">
        <v>3901164.0</v>
      </c>
      <c r="J16" s="5">
        <v>3923594.0</v>
      </c>
      <c r="K16" s="5">
        <v>3912832.0</v>
      </c>
      <c r="L16" s="5">
        <v>4092704.0</v>
      </c>
    </row>
    <row r="17">
      <c r="A17" s="4" t="s">
        <v>16</v>
      </c>
      <c r="B17" s="5">
        <v>2281831.0</v>
      </c>
      <c r="C17" s="5">
        <v>2497251.0</v>
      </c>
      <c r="D17" s="5">
        <v>2829213.0</v>
      </c>
      <c r="E17" s="5">
        <v>2765685.0</v>
      </c>
      <c r="F17" s="5">
        <v>2703010.0</v>
      </c>
      <c r="G17" s="5">
        <v>2707389.0</v>
      </c>
      <c r="H17" s="5">
        <v>2639597.0</v>
      </c>
      <c r="I17" s="5">
        <v>2602691.0</v>
      </c>
      <c r="J17" s="5">
        <v>2589233.0</v>
      </c>
      <c r="K17" s="5">
        <v>2851052.0</v>
      </c>
      <c r="L17" s="5">
        <v>2922443.0</v>
      </c>
    </row>
    <row r="18">
      <c r="A18" s="4" t="s">
        <v>17</v>
      </c>
      <c r="B18" s="5">
        <v>2659361.0</v>
      </c>
      <c r="C18" s="5">
        <v>2648932.0</v>
      </c>
      <c r="D18" s="5">
        <v>3095694.0</v>
      </c>
      <c r="E18" s="5">
        <v>3161584.0</v>
      </c>
      <c r="F18" s="5">
        <v>3376769.0</v>
      </c>
      <c r="G18" s="5">
        <v>3317490.0</v>
      </c>
      <c r="H18" s="5">
        <v>3325876.0</v>
      </c>
      <c r="I18" s="5">
        <v>3496223.0</v>
      </c>
      <c r="J18" s="5">
        <v>3613930.0</v>
      </c>
      <c r="K18" s="5">
        <v>3576257.0</v>
      </c>
      <c r="L18" s="5">
        <v>3583170.0</v>
      </c>
    </row>
    <row r="19">
      <c r="A19" s="4" t="s">
        <v>18</v>
      </c>
      <c r="B19" s="5">
        <v>1027110.0</v>
      </c>
      <c r="C19" s="5">
        <v>1368252.0</v>
      </c>
      <c r="D19" s="5">
        <v>1580456.0</v>
      </c>
      <c r="E19" s="5">
        <v>1532475.0</v>
      </c>
      <c r="F19" s="5">
        <v>1724500.0</v>
      </c>
      <c r="G19" s="5">
        <v>1700998.0</v>
      </c>
      <c r="H19" s="5">
        <v>1654347.0</v>
      </c>
      <c r="I19" s="5">
        <v>1783298.0</v>
      </c>
      <c r="J19" s="5">
        <v>1829757.0</v>
      </c>
      <c r="K19" s="5">
        <v>1868656.0</v>
      </c>
      <c r="L19" s="5">
        <v>1888319.0</v>
      </c>
    </row>
    <row r="20">
      <c r="A20" s="4" t="s">
        <v>19</v>
      </c>
      <c r="B20" s="5">
        <v>2025516.0</v>
      </c>
      <c r="C20" s="5">
        <v>2366770.0</v>
      </c>
      <c r="D20" s="5">
        <v>2722606.0</v>
      </c>
      <c r="E20" s="5">
        <v>2741600.0</v>
      </c>
      <c r="F20" s="5">
        <v>2852707.0</v>
      </c>
      <c r="G20" s="5">
        <v>2836921.0</v>
      </c>
      <c r="H20" s="5">
        <v>2798547.0</v>
      </c>
      <c r="I20" s="5">
        <v>2981647.0</v>
      </c>
      <c r="J20" s="5">
        <v>3061384.0</v>
      </c>
      <c r="K20" s="5">
        <v>3154169.0</v>
      </c>
      <c r="L20" s="5">
        <v>3212915.0</v>
      </c>
    </row>
    <row r="25">
      <c r="A25" s="6"/>
      <c r="B25" s="6"/>
    </row>
    <row r="26">
      <c r="A26" s="7"/>
      <c r="B26" s="6"/>
    </row>
    <row r="27">
      <c r="A27" s="7"/>
      <c r="B27" s="6"/>
    </row>
    <row r="28">
      <c r="A28" s="7"/>
      <c r="B28" s="6"/>
    </row>
    <row r="29">
      <c r="A29" s="7"/>
      <c r="B29" s="6"/>
    </row>
    <row r="30">
      <c r="A30" s="7"/>
      <c r="B30" s="6"/>
    </row>
    <row r="31">
      <c r="A31" s="7"/>
      <c r="B31" s="6"/>
    </row>
    <row r="32">
      <c r="A32" s="7"/>
      <c r="B32" s="6"/>
    </row>
    <row r="33">
      <c r="A33" s="7"/>
      <c r="B33" s="6"/>
    </row>
    <row r="34">
      <c r="A34" s="7"/>
      <c r="B34" s="6"/>
    </row>
    <row r="35">
      <c r="A35" s="7"/>
      <c r="B35" s="6"/>
    </row>
    <row r="36">
      <c r="A36" s="6"/>
      <c r="B36" s="6"/>
    </row>
    <row r="37">
      <c r="A37" s="6"/>
      <c r="B37" s="6"/>
    </row>
    <row r="38">
      <c r="A38" s="6"/>
      <c r="B38" s="6"/>
    </row>
    <row r="39">
      <c r="A39" s="6"/>
      <c r="B39" s="6"/>
    </row>
    <row r="40">
      <c r="A40" s="6"/>
      <c r="B40" s="6"/>
    </row>
    <row r="41">
      <c r="A41" s="6"/>
      <c r="B41" s="6"/>
    </row>
    <row r="42">
      <c r="A42" s="7"/>
      <c r="B42" s="6"/>
    </row>
    <row r="52">
      <c r="A52" s="8" t="s">
        <v>20</v>
      </c>
      <c r="B52" s="8" t="s">
        <v>21</v>
      </c>
      <c r="C52" s="9"/>
      <c r="D52" s="9"/>
      <c r="E52" s="9"/>
      <c r="F52" s="9"/>
      <c r="G52" s="9"/>
      <c r="H52" s="9"/>
    </row>
    <row r="53">
      <c r="A53" s="10" t="s">
        <v>2</v>
      </c>
      <c r="B53" s="8" t="s">
        <v>22</v>
      </c>
      <c r="C53" s="9"/>
      <c r="D53" s="9"/>
      <c r="E53" s="9"/>
      <c r="F53" s="9"/>
      <c r="G53" s="9"/>
      <c r="H53" s="9"/>
    </row>
    <row r="54">
      <c r="A54" s="10" t="s">
        <v>3</v>
      </c>
      <c r="B54" s="8" t="s">
        <v>23</v>
      </c>
      <c r="C54" s="9"/>
      <c r="D54" s="9"/>
      <c r="E54" s="9"/>
      <c r="F54" s="9"/>
      <c r="G54" s="9"/>
      <c r="H54" s="9"/>
    </row>
    <row r="55">
      <c r="A55" s="10" t="s">
        <v>4</v>
      </c>
      <c r="B55" s="8" t="s">
        <v>24</v>
      </c>
      <c r="C55" s="9"/>
      <c r="D55" s="9"/>
      <c r="E55" s="9"/>
      <c r="F55" s="9"/>
      <c r="G55" s="9"/>
      <c r="H55" s="9"/>
    </row>
    <row r="56">
      <c r="A56" s="10" t="s">
        <v>5</v>
      </c>
      <c r="B56" s="8" t="s">
        <v>25</v>
      </c>
      <c r="C56" s="9"/>
      <c r="D56" s="9"/>
      <c r="E56" s="9"/>
      <c r="F56" s="9"/>
      <c r="G56" s="9"/>
      <c r="H56" s="9"/>
    </row>
    <row r="57">
      <c r="A57" s="10" t="s">
        <v>6</v>
      </c>
      <c r="B57" s="8" t="s">
        <v>26</v>
      </c>
      <c r="C57" s="9"/>
      <c r="D57" s="9"/>
      <c r="E57" s="9"/>
      <c r="F57" s="9"/>
      <c r="G57" s="9"/>
      <c r="H57" s="9"/>
    </row>
    <row r="58">
      <c r="A58" s="10" t="s">
        <v>7</v>
      </c>
      <c r="B58" s="8" t="s">
        <v>27</v>
      </c>
      <c r="C58" s="9"/>
      <c r="D58" s="9"/>
      <c r="E58" s="9"/>
      <c r="F58" s="9"/>
      <c r="G58" s="9"/>
      <c r="H58" s="9"/>
    </row>
    <row r="59">
      <c r="A59" s="10" t="s">
        <v>8</v>
      </c>
      <c r="B59" s="8" t="s">
        <v>28</v>
      </c>
      <c r="C59" s="9"/>
      <c r="D59" s="9"/>
      <c r="E59" s="9"/>
      <c r="F59" s="9"/>
      <c r="G59" s="9"/>
      <c r="H59" s="9"/>
    </row>
    <row r="60">
      <c r="A60" s="10" t="s">
        <v>9</v>
      </c>
      <c r="B60" s="8" t="s">
        <v>29</v>
      </c>
      <c r="C60" s="9"/>
      <c r="D60" s="9"/>
      <c r="E60" s="9"/>
      <c r="F60" s="9"/>
      <c r="G60" s="9"/>
      <c r="H60" s="9"/>
    </row>
    <row r="61">
      <c r="A61" s="10" t="s">
        <v>10</v>
      </c>
      <c r="B61" s="8" t="s">
        <v>30</v>
      </c>
      <c r="C61" s="9"/>
      <c r="D61" s="9"/>
      <c r="E61" s="9"/>
      <c r="F61" s="9"/>
      <c r="G61" s="9"/>
      <c r="H61" s="9"/>
    </row>
    <row r="62">
      <c r="A62" s="10" t="s">
        <v>11</v>
      </c>
      <c r="B62" s="8" t="s">
        <v>31</v>
      </c>
      <c r="C62" s="9"/>
      <c r="D62" s="9"/>
      <c r="E62" s="9"/>
      <c r="F62" s="9"/>
      <c r="G62" s="9"/>
      <c r="H62" s="9"/>
    </row>
    <row r="63">
      <c r="A63" s="8" t="s">
        <v>12</v>
      </c>
      <c r="B63" s="8" t="s">
        <v>32</v>
      </c>
      <c r="C63" s="9"/>
      <c r="D63" s="9"/>
      <c r="E63" s="9"/>
      <c r="F63" s="9"/>
      <c r="G63" s="9"/>
      <c r="H63" s="9"/>
    </row>
    <row r="64">
      <c r="A64" s="8" t="s">
        <v>13</v>
      </c>
      <c r="B64" s="8" t="s">
        <v>33</v>
      </c>
      <c r="C64" s="9"/>
      <c r="D64" s="9"/>
      <c r="E64" s="9"/>
      <c r="F64" s="9"/>
      <c r="G64" s="9"/>
      <c r="H64" s="9"/>
    </row>
    <row r="65">
      <c r="A65" s="8" t="s">
        <v>14</v>
      </c>
      <c r="B65" s="8" t="s">
        <v>34</v>
      </c>
      <c r="C65" s="9"/>
      <c r="D65" s="9"/>
      <c r="E65" s="9"/>
      <c r="F65" s="9"/>
      <c r="G65" s="9"/>
      <c r="H65" s="9"/>
    </row>
    <row r="66">
      <c r="A66" s="8" t="s">
        <v>15</v>
      </c>
      <c r="B66" s="8" t="s">
        <v>35</v>
      </c>
      <c r="C66" s="9"/>
      <c r="D66" s="9"/>
      <c r="E66" s="9"/>
      <c r="F66" s="9"/>
      <c r="G66" s="9"/>
      <c r="H66" s="9"/>
    </row>
    <row r="67">
      <c r="A67" s="8" t="s">
        <v>16</v>
      </c>
      <c r="B67" s="8" t="s">
        <v>36</v>
      </c>
      <c r="C67" s="9"/>
      <c r="D67" s="9"/>
      <c r="E67" s="9"/>
      <c r="F67" s="9"/>
      <c r="G67" s="9"/>
      <c r="H67" s="9"/>
    </row>
    <row r="68">
      <c r="A68" s="8" t="s">
        <v>17</v>
      </c>
      <c r="B68" s="8" t="s">
        <v>37</v>
      </c>
      <c r="C68" s="9"/>
      <c r="D68" s="9"/>
      <c r="E68" s="9"/>
      <c r="F68" s="9"/>
      <c r="G68" s="9"/>
      <c r="H68" s="9"/>
    </row>
    <row r="69">
      <c r="A69" s="10" t="s">
        <v>18</v>
      </c>
      <c r="B69" s="8" t="s">
        <v>38</v>
      </c>
      <c r="C69" s="9"/>
      <c r="D69" s="9"/>
      <c r="E69" s="9"/>
      <c r="F69" s="9"/>
      <c r="G69" s="9"/>
      <c r="H69" s="9"/>
    </row>
    <row r="70">
      <c r="A70" s="9"/>
      <c r="B70" s="9"/>
      <c r="C70" s="9"/>
      <c r="D70" s="9"/>
      <c r="E70" s="9"/>
      <c r="F70" s="9"/>
      <c r="G70" s="9"/>
      <c r="H70" s="9"/>
    </row>
  </sheetData>
  <mergeCells count="2">
    <mergeCell ref="A1:A2"/>
    <mergeCell ref="B1:L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16.63"/>
  </cols>
  <sheetData>
    <row r="1">
      <c r="A1" s="1" t="s">
        <v>0</v>
      </c>
      <c r="B1" s="2" t="s">
        <v>1</v>
      </c>
    </row>
    <row r="2">
      <c r="B2" s="1">
        <v>2015.0</v>
      </c>
      <c r="C2" s="1">
        <v>2016.0</v>
      </c>
      <c r="D2" s="1">
        <v>2017.0</v>
      </c>
      <c r="E2" s="1">
        <v>2018.0</v>
      </c>
      <c r="F2" s="1">
        <v>2019.0</v>
      </c>
      <c r="G2" s="1">
        <v>2020.0</v>
      </c>
      <c r="H2" s="1">
        <v>2021.0</v>
      </c>
      <c r="I2" s="1">
        <v>2022.0</v>
      </c>
      <c r="J2" s="1">
        <v>2023.0</v>
      </c>
      <c r="K2" s="1">
        <v>2024.0</v>
      </c>
      <c r="L2" s="3">
        <v>2025.0</v>
      </c>
      <c r="M2" s="1" t="s">
        <v>39</v>
      </c>
      <c r="N2" s="1" t="s">
        <v>40</v>
      </c>
      <c r="O2" s="1" t="s">
        <v>41</v>
      </c>
      <c r="P2" s="1" t="s">
        <v>42</v>
      </c>
    </row>
    <row r="3">
      <c r="A3" s="4"/>
      <c r="B3" s="11">
        <v>1.0</v>
      </c>
      <c r="C3" s="11">
        <v>2.0</v>
      </c>
      <c r="D3" s="11">
        <v>3.0</v>
      </c>
      <c r="E3" s="11">
        <v>4.0</v>
      </c>
      <c r="F3" s="11">
        <v>5.0</v>
      </c>
      <c r="G3" s="11">
        <v>6.0</v>
      </c>
      <c r="H3" s="11">
        <v>7.0</v>
      </c>
      <c r="I3" s="11">
        <v>8.0</v>
      </c>
      <c r="J3" s="11">
        <v>9.0</v>
      </c>
      <c r="K3" s="11">
        <v>10.0</v>
      </c>
      <c r="L3" s="12">
        <v>11.0</v>
      </c>
    </row>
    <row r="4">
      <c r="A4" s="4" t="s">
        <v>2</v>
      </c>
      <c r="B4" s="5">
        <f>LN('Rata-rata gaji tahunan per sekt'!B3)</f>
        <v>14.05113589</v>
      </c>
      <c r="C4" s="5">
        <f>LN('Rata-rata gaji tahunan per sekt'!C3)</f>
        <v>14.24881195</v>
      </c>
      <c r="D4" s="5">
        <f>LN('Rata-rata gaji tahunan per sekt'!D3)</f>
        <v>14.38184827</v>
      </c>
      <c r="E4" s="5">
        <f>LN('Rata-rata gaji tahunan per sekt'!E3)</f>
        <v>14.41694697</v>
      </c>
      <c r="F4" s="5">
        <f>LN('Rata-rata gaji tahunan per sekt'!F3)</f>
        <v>14.52902148</v>
      </c>
      <c r="G4" s="5">
        <f>LN('Rata-rata gaji tahunan per sekt'!G3)</f>
        <v>14.50324059</v>
      </c>
      <c r="H4" s="5">
        <f>LN('Rata-rata gaji tahunan per sekt'!H3)</f>
        <v>14.48423543</v>
      </c>
      <c r="I4" s="5">
        <f>LN('Rata-rata gaji tahunan per sekt'!I3)</f>
        <v>14.54864258</v>
      </c>
      <c r="J4" s="5">
        <f>LN('Rata-rata gaji tahunan per sekt'!J3)</f>
        <v>14.61236799</v>
      </c>
      <c r="K4" s="5">
        <f>LN('Rata-rata gaji tahunan per sekt'!K3)</f>
        <v>14.65788733</v>
      </c>
      <c r="L4" s="5">
        <f>LN('Rata-rata gaji tahunan per sekt'!L3)</f>
        <v>14.68839638</v>
      </c>
      <c r="M4" s="13">
        <f t="shared" ref="M4:M21" si="1"> SLOPE(B4:L4, $B$3:$L$3)</f>
        <v>0.05211607545</v>
      </c>
      <c r="N4" s="13">
        <f t="shared" ref="N4:N21" si="2"> EXP(M4) -1</f>
        <v>0.05349802068</v>
      </c>
      <c r="O4" s="13">
        <f t="shared" ref="O4:O21" si="3"> (EXP(M4) -1) * 100</f>
        <v>5.349802068</v>
      </c>
      <c r="P4" s="13">
        <f t="shared" ref="P4:P21" si="4">RSQ(B4:L4, $B$3:$L$3)</f>
        <v>0.8560852847</v>
      </c>
    </row>
    <row r="5">
      <c r="A5" s="4" t="s">
        <v>3</v>
      </c>
      <c r="B5" s="5">
        <f>LN('Rata-rata gaji tahunan per sekt'!B4)</f>
        <v>15.09943022</v>
      </c>
      <c r="C5" s="5">
        <f>LN('Rata-rata gaji tahunan per sekt'!C4)</f>
        <v>15.25598719</v>
      </c>
      <c r="D5" s="5">
        <f>LN('Rata-rata gaji tahunan per sekt'!D4)</f>
        <v>15.28752425</v>
      </c>
      <c r="E5" s="5">
        <f>LN('Rata-rata gaji tahunan per sekt'!E4)</f>
        <v>15.29299275</v>
      </c>
      <c r="F5" s="5">
        <f>LN('Rata-rata gaji tahunan per sekt'!F4)</f>
        <v>15.40520505</v>
      </c>
      <c r="G5" s="5">
        <f>LN('Rata-rata gaji tahunan per sekt'!G4)</f>
        <v>15.38179689</v>
      </c>
      <c r="H5" s="5">
        <f>LN('Rata-rata gaji tahunan per sekt'!H4)</f>
        <v>15.27699472</v>
      </c>
      <c r="I5" s="5">
        <f>LN('Rata-rata gaji tahunan per sekt'!I4)</f>
        <v>15.33543834</v>
      </c>
      <c r="J5" s="5">
        <f>LN('Rata-rata gaji tahunan per sekt'!J4)</f>
        <v>15.36169233</v>
      </c>
      <c r="K5" s="5">
        <f>LN('Rata-rata gaji tahunan per sekt'!K4)</f>
        <v>15.4421426</v>
      </c>
      <c r="L5" s="5">
        <f>LN('Rata-rata gaji tahunan per sekt'!L4)</f>
        <v>15.43190502</v>
      </c>
      <c r="M5" s="13">
        <f t="shared" si="1"/>
        <v>0.02351073376</v>
      </c>
      <c r="N5" s="13">
        <f t="shared" si="2"/>
        <v>0.0237892898</v>
      </c>
      <c r="O5" s="13">
        <f t="shared" si="3"/>
        <v>2.37892898</v>
      </c>
      <c r="P5" s="13">
        <f t="shared" si="4"/>
        <v>0.6291596694</v>
      </c>
    </row>
    <row r="6">
      <c r="A6" s="4" t="s">
        <v>4</v>
      </c>
      <c r="B6" s="5">
        <f>LN('Rata-rata gaji tahunan per sekt'!B5)</f>
        <v>14.36397642</v>
      </c>
      <c r="C6" s="5">
        <f>LN('Rata-rata gaji tahunan per sekt'!C5)</f>
        <v>14.59528167</v>
      </c>
      <c r="D6" s="5">
        <f>LN('Rata-rata gaji tahunan per sekt'!D5)</f>
        <v>14.75053197</v>
      </c>
      <c r="E6" s="5">
        <f>LN('Rata-rata gaji tahunan per sekt'!E5)</f>
        <v>14.76771848</v>
      </c>
      <c r="F6" s="5">
        <f>LN('Rata-rata gaji tahunan per sekt'!F5)</f>
        <v>14.82640395</v>
      </c>
      <c r="G6" s="5">
        <f>LN('Rata-rata gaji tahunan per sekt'!G5)</f>
        <v>14.81847061</v>
      </c>
      <c r="H6" s="5">
        <f>LN('Rata-rata gaji tahunan per sekt'!H5)</f>
        <v>14.83353805</v>
      </c>
      <c r="I6" s="5">
        <f>LN('Rata-rata gaji tahunan per sekt'!I5)</f>
        <v>14.886433</v>
      </c>
      <c r="J6" s="5">
        <f>LN('Rata-rata gaji tahunan per sekt'!J5)</f>
        <v>14.94172861</v>
      </c>
      <c r="K6" s="5">
        <f>LN('Rata-rata gaji tahunan per sekt'!K5)</f>
        <v>14.95855974</v>
      </c>
      <c r="L6" s="5">
        <f>LN('Rata-rata gaji tahunan per sekt'!L5)</f>
        <v>14.97250558</v>
      </c>
      <c r="M6" s="13">
        <f t="shared" si="1"/>
        <v>0.04830828368</v>
      </c>
      <c r="N6" s="13">
        <f t="shared" si="2"/>
        <v>0.04949414737</v>
      </c>
      <c r="O6" s="13">
        <f t="shared" si="3"/>
        <v>4.949414737</v>
      </c>
      <c r="P6" s="13">
        <f t="shared" si="4"/>
        <v>0.8035092844</v>
      </c>
    </row>
    <row r="7">
      <c r="A7" s="4" t="s">
        <v>5</v>
      </c>
      <c r="B7" s="5">
        <f>LN('Rata-rata gaji tahunan per sekt'!B6)</f>
        <v>14.81265364</v>
      </c>
      <c r="C7" s="5">
        <f>LN('Rata-rata gaji tahunan per sekt'!C6)</f>
        <v>14.9587386</v>
      </c>
      <c r="D7" s="5">
        <f>LN('Rata-rata gaji tahunan per sekt'!D6)</f>
        <v>15.20759686</v>
      </c>
      <c r="E7" s="5">
        <f>LN('Rata-rata gaji tahunan per sekt'!E6)</f>
        <v>15.06694865</v>
      </c>
      <c r="F7" s="5">
        <f>LN('Rata-rata gaji tahunan per sekt'!F6)</f>
        <v>15.17700851</v>
      </c>
      <c r="G7" s="5">
        <f>LN('Rata-rata gaji tahunan per sekt'!G6)</f>
        <v>15.1666134</v>
      </c>
      <c r="H7" s="5">
        <f>LN('Rata-rata gaji tahunan per sekt'!H6)</f>
        <v>15.17987444</v>
      </c>
      <c r="I7" s="5">
        <f>LN('Rata-rata gaji tahunan per sekt'!I6)</f>
        <v>15.33060746</v>
      </c>
      <c r="J7" s="5">
        <f>LN('Rata-rata gaji tahunan per sekt'!J6)</f>
        <v>15.27631087</v>
      </c>
      <c r="K7" s="5">
        <f>LN('Rata-rata gaji tahunan per sekt'!K6)</f>
        <v>15.39297348</v>
      </c>
      <c r="L7" s="5">
        <f>LN('Rata-rata gaji tahunan per sekt'!L6)</f>
        <v>15.43623632</v>
      </c>
      <c r="M7" s="13">
        <f t="shared" si="1"/>
        <v>0.05082889542</v>
      </c>
      <c r="N7" s="13">
        <f t="shared" si="2"/>
        <v>0.05214285142</v>
      </c>
      <c r="O7" s="13">
        <f t="shared" si="3"/>
        <v>5.214285142</v>
      </c>
      <c r="P7" s="13">
        <f t="shared" si="4"/>
        <v>0.8345276285</v>
      </c>
    </row>
    <row r="8">
      <c r="A8" s="4" t="s">
        <v>6</v>
      </c>
      <c r="B8" s="5">
        <f>LN('Rata-rata gaji tahunan per sekt'!B7)</f>
        <v>14.24573397</v>
      </c>
      <c r="C8" s="5">
        <f>LN('Rata-rata gaji tahunan per sekt'!C7)</f>
        <v>14.66415266</v>
      </c>
      <c r="D8" s="5">
        <f>LN('Rata-rata gaji tahunan per sekt'!D7)</f>
        <v>14.972471</v>
      </c>
      <c r="E8" s="5">
        <f>LN('Rata-rata gaji tahunan per sekt'!E7)</f>
        <v>14.82859982</v>
      </c>
      <c r="F8" s="5">
        <f>LN('Rata-rata gaji tahunan per sekt'!F7)</f>
        <v>14.73100457</v>
      </c>
      <c r="G8" s="5">
        <f>LN('Rata-rata gaji tahunan per sekt'!G7)</f>
        <v>14.7610043</v>
      </c>
      <c r="H8" s="5">
        <f>LN('Rata-rata gaji tahunan per sekt'!H7)</f>
        <v>14.80037727</v>
      </c>
      <c r="I8" s="5">
        <f>LN('Rata-rata gaji tahunan per sekt'!I7)</f>
        <v>14.81014989</v>
      </c>
      <c r="J8" s="5">
        <f>LN('Rata-rata gaji tahunan per sekt'!J7)</f>
        <v>14.8731182</v>
      </c>
      <c r="K8" s="5">
        <f>LN('Rata-rata gaji tahunan per sekt'!K7)</f>
        <v>14.85250592</v>
      </c>
      <c r="L8" s="5">
        <f>LN('Rata-rata gaji tahunan per sekt'!L7)</f>
        <v>14.87008318</v>
      </c>
      <c r="M8" s="13">
        <f t="shared" si="1"/>
        <v>0.03281430509</v>
      </c>
      <c r="N8" s="13">
        <f t="shared" si="2"/>
        <v>0.03335863198</v>
      </c>
      <c r="O8" s="13">
        <f t="shared" si="3"/>
        <v>3.335863198</v>
      </c>
      <c r="P8" s="14">
        <f t="shared" si="4"/>
        <v>0.3274290074</v>
      </c>
    </row>
    <row r="9">
      <c r="A9" s="4" t="s">
        <v>7</v>
      </c>
      <c r="B9" s="5">
        <f>LN('Rata-rata gaji tahunan per sekt'!B8)</f>
        <v>14.50465424</v>
      </c>
      <c r="C9" s="5">
        <f>LN('Rata-rata gaji tahunan per sekt'!C8)</f>
        <v>14.64154567</v>
      </c>
      <c r="D9" s="5">
        <f>LN('Rata-rata gaji tahunan per sekt'!D8)</f>
        <v>14.73119791</v>
      </c>
      <c r="E9" s="5">
        <f>LN('Rata-rata gaji tahunan per sekt'!E8)</f>
        <v>14.79957507</v>
      </c>
      <c r="F9" s="5">
        <f>LN('Rata-rata gaji tahunan per sekt'!F8)</f>
        <v>14.85232652</v>
      </c>
      <c r="G9" s="5">
        <f>LN('Rata-rata gaji tahunan per sekt'!G8)</f>
        <v>14.87184737</v>
      </c>
      <c r="H9" s="5">
        <f>LN('Rata-rata gaji tahunan per sekt'!H8)</f>
        <v>14.83714137</v>
      </c>
      <c r="I9" s="5">
        <f>LN('Rata-rata gaji tahunan per sekt'!I8)</f>
        <v>14.90702404</v>
      </c>
      <c r="J9" s="5">
        <f>LN('Rata-rata gaji tahunan per sekt'!J8)</f>
        <v>14.94610815</v>
      </c>
      <c r="K9" s="5">
        <f>LN('Rata-rata gaji tahunan per sekt'!K8)</f>
        <v>14.95321471</v>
      </c>
      <c r="L9" s="5">
        <f>LN('Rata-rata gaji tahunan per sekt'!L8)</f>
        <v>14.98551967</v>
      </c>
      <c r="M9" s="13">
        <f t="shared" si="1"/>
        <v>0.04086769842</v>
      </c>
      <c r="N9" s="13">
        <f t="shared" si="2"/>
        <v>0.04171427598</v>
      </c>
      <c r="O9" s="13">
        <f t="shared" si="3"/>
        <v>4.171427598</v>
      </c>
      <c r="P9" s="13">
        <f t="shared" si="4"/>
        <v>0.8656624922</v>
      </c>
    </row>
    <row r="10">
      <c r="A10" s="4" t="s">
        <v>8</v>
      </c>
      <c r="B10" s="5">
        <f>LN('Rata-rata gaji tahunan per sekt'!B9)</f>
        <v>14.30052533</v>
      </c>
      <c r="C10" s="5">
        <f>LN('Rata-rata gaji tahunan per sekt'!C9)</f>
        <v>14.47786549</v>
      </c>
      <c r="D10" s="5">
        <f>LN('Rata-rata gaji tahunan per sekt'!D9)</f>
        <v>14.61226296</v>
      </c>
      <c r="E10" s="5">
        <f>LN('Rata-rata gaji tahunan per sekt'!E9)</f>
        <v>14.63779386</v>
      </c>
      <c r="F10" s="5">
        <f>LN('Rata-rata gaji tahunan per sekt'!F9)</f>
        <v>14.68722141</v>
      </c>
      <c r="G10" s="5">
        <f>LN('Rata-rata gaji tahunan per sekt'!G9)</f>
        <v>14.68971141</v>
      </c>
      <c r="H10" s="5">
        <f>LN('Rata-rata gaji tahunan per sekt'!H9)</f>
        <v>14.67737383</v>
      </c>
      <c r="I10" s="5">
        <f>LN('Rata-rata gaji tahunan per sekt'!I9)</f>
        <v>14.7646084</v>
      </c>
      <c r="J10" s="5">
        <f>LN('Rata-rata gaji tahunan per sekt'!J9)</f>
        <v>14.786753</v>
      </c>
      <c r="K10" s="5">
        <f>LN('Rata-rata gaji tahunan per sekt'!K9)</f>
        <v>14.80708092</v>
      </c>
      <c r="L10" s="5">
        <f>LN('Rata-rata gaji tahunan per sekt'!L9)</f>
        <v>14.82836813</v>
      </c>
      <c r="M10" s="13">
        <f t="shared" si="1"/>
        <v>0.04293933975</v>
      </c>
      <c r="N10" s="13">
        <f t="shared" si="2"/>
        <v>0.04387457124</v>
      </c>
      <c r="O10" s="13">
        <f t="shared" si="3"/>
        <v>4.387457124</v>
      </c>
      <c r="P10" s="13">
        <f t="shared" si="4"/>
        <v>0.8309629471</v>
      </c>
    </row>
    <row r="11">
      <c r="A11" s="4" t="s">
        <v>9</v>
      </c>
      <c r="B11" s="5">
        <f>LN('Rata-rata gaji tahunan per sekt'!B10)</f>
        <v>14.68828484</v>
      </c>
      <c r="C11" s="5">
        <f>LN('Rata-rata gaji tahunan per sekt'!C10)</f>
        <v>14.85460707</v>
      </c>
      <c r="D11" s="5">
        <f>LN('Rata-rata gaji tahunan per sekt'!D10)</f>
        <v>14.9682467</v>
      </c>
      <c r="E11" s="5">
        <f>LN('Rata-rata gaji tahunan per sekt'!E10)</f>
        <v>14.98293441</v>
      </c>
      <c r="F11" s="5">
        <f>LN('Rata-rata gaji tahunan per sekt'!F10)</f>
        <v>15.07021564</v>
      </c>
      <c r="G11" s="5">
        <f>LN('Rata-rata gaji tahunan per sekt'!G10)</f>
        <v>15.03173876</v>
      </c>
      <c r="H11" s="5">
        <f>LN('Rata-rata gaji tahunan per sekt'!H10)</f>
        <v>14.95978686</v>
      </c>
      <c r="I11" s="5">
        <f>LN('Rata-rata gaji tahunan per sekt'!I10)</f>
        <v>15.07053411</v>
      </c>
      <c r="J11" s="5">
        <f>LN('Rata-rata gaji tahunan per sekt'!J10)</f>
        <v>15.12071606</v>
      </c>
      <c r="K11" s="5">
        <f>LN('Rata-rata gaji tahunan per sekt'!K10)</f>
        <v>15.1517088</v>
      </c>
      <c r="L11" s="5">
        <f>LN('Rata-rata gaji tahunan per sekt'!L10)</f>
        <v>15.17835895</v>
      </c>
      <c r="M11" s="13">
        <f t="shared" si="1"/>
        <v>0.03782687461</v>
      </c>
      <c r="N11" s="13">
        <f t="shared" si="2"/>
        <v>0.03855141769</v>
      </c>
      <c r="O11" s="13">
        <f t="shared" si="3"/>
        <v>3.855141769</v>
      </c>
      <c r="P11" s="13">
        <f t="shared" si="4"/>
        <v>0.7830891147</v>
      </c>
    </row>
    <row r="12">
      <c r="A12" s="4" t="s">
        <v>10</v>
      </c>
      <c r="B12" s="5">
        <f>LN('Rata-rata gaji tahunan per sekt'!B11)</f>
        <v>14.29471733</v>
      </c>
      <c r="C12" s="5">
        <f>LN('Rata-rata gaji tahunan per sekt'!C11)</f>
        <v>14.44730188</v>
      </c>
      <c r="D12" s="5">
        <f>LN('Rata-rata gaji tahunan per sekt'!D11)</f>
        <v>14.57211505</v>
      </c>
      <c r="E12" s="5">
        <f>LN('Rata-rata gaji tahunan per sekt'!E11)</f>
        <v>14.59057177</v>
      </c>
      <c r="F12" s="5">
        <f>LN('Rata-rata gaji tahunan per sekt'!F11)</f>
        <v>14.65025235</v>
      </c>
      <c r="G12" s="5">
        <f>LN('Rata-rata gaji tahunan per sekt'!G11)</f>
        <v>14.56162488</v>
      </c>
      <c r="H12" s="5">
        <f>LN('Rata-rata gaji tahunan per sekt'!H11)</f>
        <v>14.49066738</v>
      </c>
      <c r="I12" s="5">
        <f>LN('Rata-rata gaji tahunan per sekt'!I11)</f>
        <v>14.61190001</v>
      </c>
      <c r="J12" s="5">
        <f>LN('Rata-rata gaji tahunan per sekt'!J11)</f>
        <v>14.64194441</v>
      </c>
      <c r="K12" s="5">
        <f>LN('Rata-rata gaji tahunan per sekt'!K11)</f>
        <v>14.66575465</v>
      </c>
      <c r="L12" s="5">
        <f>LN('Rata-rata gaji tahunan per sekt'!L11)</f>
        <v>14.72610671</v>
      </c>
      <c r="M12" s="13">
        <f t="shared" si="1"/>
        <v>0.02839379571</v>
      </c>
      <c r="N12" s="13">
        <f t="shared" si="2"/>
        <v>0.02880074198</v>
      </c>
      <c r="O12" s="13">
        <f t="shared" si="3"/>
        <v>2.880074198</v>
      </c>
      <c r="P12" s="13">
        <f t="shared" si="4"/>
        <v>0.613676415</v>
      </c>
    </row>
    <row r="13">
      <c r="A13" s="4" t="s">
        <v>11</v>
      </c>
      <c r="B13" s="5">
        <f>LN('Rata-rata gaji tahunan per sekt'!B12)</f>
        <v>15.11538364</v>
      </c>
      <c r="C13" s="5">
        <f>LN('Rata-rata gaji tahunan per sekt'!C12)</f>
        <v>15.08029893</v>
      </c>
      <c r="D13" s="5">
        <f>LN('Rata-rata gaji tahunan per sekt'!D12)</f>
        <v>15.27517224</v>
      </c>
      <c r="E13" s="5">
        <f>LN('Rata-rata gaji tahunan per sekt'!E12)</f>
        <v>15.21787633</v>
      </c>
      <c r="F13" s="5">
        <f>LN('Rata-rata gaji tahunan per sekt'!F12)</f>
        <v>15.24607775</v>
      </c>
      <c r="G13" s="5">
        <f>LN('Rata-rata gaji tahunan per sekt'!G12)</f>
        <v>15.20413296</v>
      </c>
      <c r="H13" s="5">
        <f>LN('Rata-rata gaji tahunan per sekt'!H12)</f>
        <v>15.22388754</v>
      </c>
      <c r="I13" s="5">
        <f>LN('Rata-rata gaji tahunan per sekt'!I12)</f>
        <v>15.41553046</v>
      </c>
      <c r="J13" s="5">
        <f>LN('Rata-rata gaji tahunan per sekt'!J12)</f>
        <v>15.37278427</v>
      </c>
      <c r="K13" s="5">
        <f>LN('Rata-rata gaji tahunan per sekt'!K12)</f>
        <v>15.39656895</v>
      </c>
      <c r="L13" s="5">
        <f>LN('Rata-rata gaji tahunan per sekt'!L12)</f>
        <v>15.36417395</v>
      </c>
      <c r="M13" s="13">
        <f t="shared" si="1"/>
        <v>0.02886350708</v>
      </c>
      <c r="N13" s="13">
        <f t="shared" si="2"/>
        <v>0.0292840949</v>
      </c>
      <c r="O13" s="13">
        <f t="shared" si="3"/>
        <v>2.92840949</v>
      </c>
      <c r="P13" s="13">
        <f t="shared" si="4"/>
        <v>0.7273194631</v>
      </c>
    </row>
    <row r="14">
      <c r="A14" s="4" t="s">
        <v>12</v>
      </c>
      <c r="B14" s="5">
        <f>LN('Rata-rata gaji tahunan per sekt'!B13)</f>
        <v>14.97801679</v>
      </c>
      <c r="C14" s="5">
        <f>LN('Rata-rata gaji tahunan per sekt'!C13)</f>
        <v>15.08809184</v>
      </c>
      <c r="D14" s="5">
        <f>LN('Rata-rata gaji tahunan per sekt'!D13)</f>
        <v>15.22737934</v>
      </c>
      <c r="E14" s="5">
        <f>LN('Rata-rata gaji tahunan per sekt'!E13)</f>
        <v>15.26365538</v>
      </c>
      <c r="F14" s="5">
        <f>LN('Rata-rata gaji tahunan per sekt'!F13)</f>
        <v>15.24494247</v>
      </c>
      <c r="G14" s="5">
        <f>LN('Rata-rata gaji tahunan per sekt'!G13)</f>
        <v>15.23860082</v>
      </c>
      <c r="H14" s="5">
        <f>LN('Rata-rata gaji tahunan per sekt'!H13)</f>
        <v>15.2362119</v>
      </c>
      <c r="I14" s="5">
        <f>LN('Rata-rata gaji tahunan per sekt'!I13)</f>
        <v>15.41092946</v>
      </c>
      <c r="J14" s="5">
        <f>LN('Rata-rata gaji tahunan per sekt'!J13)</f>
        <v>15.41706548</v>
      </c>
      <c r="K14" s="5">
        <f>LN('Rata-rata gaji tahunan per sekt'!K13)</f>
        <v>15.44857632</v>
      </c>
      <c r="L14" s="5">
        <f>LN('Rata-rata gaji tahunan per sekt'!L13)</f>
        <v>15.42441233</v>
      </c>
      <c r="M14" s="13">
        <f t="shared" si="1"/>
        <v>0.04117083329</v>
      </c>
      <c r="N14" s="13">
        <f t="shared" si="2"/>
        <v>0.04203010377</v>
      </c>
      <c r="O14" s="13">
        <f t="shared" si="3"/>
        <v>4.203010377</v>
      </c>
      <c r="P14" s="13">
        <f t="shared" si="4"/>
        <v>0.8468514167</v>
      </c>
    </row>
    <row r="15">
      <c r="A15" s="4" t="s">
        <v>13</v>
      </c>
      <c r="B15" s="5">
        <f>LN('Rata-rata gaji tahunan per sekt'!B14)</f>
        <v>14.86586319</v>
      </c>
      <c r="C15" s="5">
        <f>LN('Rata-rata gaji tahunan per sekt'!C14)</f>
        <v>15.15611066</v>
      </c>
      <c r="D15" s="5">
        <f>LN('Rata-rata gaji tahunan per sekt'!D14)</f>
        <v>14.97753824</v>
      </c>
      <c r="E15" s="5">
        <f>LN('Rata-rata gaji tahunan per sekt'!E14)</f>
        <v>15.01941486</v>
      </c>
      <c r="F15" s="5">
        <f>LN('Rata-rata gaji tahunan per sekt'!F14)</f>
        <v>15.12055582</v>
      </c>
      <c r="G15" s="5">
        <f>LN('Rata-rata gaji tahunan per sekt'!G14)</f>
        <v>15.04238559</v>
      </c>
      <c r="H15" s="5">
        <f>LN('Rata-rata gaji tahunan per sekt'!H14)</f>
        <v>15.08355812</v>
      </c>
      <c r="I15" s="5">
        <f>LN('Rata-rata gaji tahunan per sekt'!I14)</f>
        <v>15.27619785</v>
      </c>
      <c r="J15" s="5">
        <f>LN('Rata-rata gaji tahunan per sekt'!J14)</f>
        <v>15.32850122</v>
      </c>
      <c r="K15" s="5">
        <f>LN('Rata-rata gaji tahunan per sekt'!K14)</f>
        <v>15.27545493</v>
      </c>
      <c r="L15" s="5">
        <f>LN('Rata-rata gaji tahunan per sekt'!L14)</f>
        <v>15.25556723</v>
      </c>
      <c r="M15" s="13">
        <f t="shared" si="1"/>
        <v>0.03595776818</v>
      </c>
      <c r="N15" s="13">
        <f t="shared" si="2"/>
        <v>0.03661206755</v>
      </c>
      <c r="O15" s="13">
        <f t="shared" si="3"/>
        <v>3.661206755</v>
      </c>
      <c r="P15" s="13">
        <f t="shared" si="4"/>
        <v>0.6662526791</v>
      </c>
    </row>
    <row r="16">
      <c r="A16" s="4" t="s">
        <v>14</v>
      </c>
      <c r="B16" s="5">
        <f>LN('Rata-rata gaji tahunan per sekt'!B15)</f>
        <v>14.76328445</v>
      </c>
      <c r="C16" s="5">
        <f>LN('Rata-rata gaji tahunan per sekt'!C15)</f>
        <v>14.87470334</v>
      </c>
      <c r="D16" s="5">
        <f>LN('Rata-rata gaji tahunan per sekt'!D15)</f>
        <v>15.03764818</v>
      </c>
      <c r="E16" s="5">
        <f>LN('Rata-rata gaji tahunan per sekt'!E15)</f>
        <v>15.01683015</v>
      </c>
      <c r="F16" s="5">
        <f>LN('Rata-rata gaji tahunan per sekt'!F15)</f>
        <v>15.02817597</v>
      </c>
      <c r="G16" s="5">
        <f>LN('Rata-rata gaji tahunan per sekt'!G15)</f>
        <v>15.03039303</v>
      </c>
      <c r="H16" s="5">
        <f>LN('Rata-rata gaji tahunan per sekt'!H15)</f>
        <v>14.97907941</v>
      </c>
      <c r="I16" s="5">
        <f>LN('Rata-rata gaji tahunan per sekt'!I15)</f>
        <v>15.12898393</v>
      </c>
      <c r="J16" s="5">
        <f>LN('Rata-rata gaji tahunan per sekt'!J15)</f>
        <v>15.1496315</v>
      </c>
      <c r="K16" s="5">
        <f>LN('Rata-rata gaji tahunan per sekt'!K15)</f>
        <v>15.18538408</v>
      </c>
      <c r="L16" s="5">
        <f>LN('Rata-rata gaji tahunan per sekt'!L15)</f>
        <v>15.22976584</v>
      </c>
      <c r="M16" s="13">
        <f t="shared" si="1"/>
        <v>0.03714809891</v>
      </c>
      <c r="N16" s="13">
        <f t="shared" si="2"/>
        <v>0.03784671343</v>
      </c>
      <c r="O16" s="13">
        <f t="shared" si="3"/>
        <v>3.784671343</v>
      </c>
      <c r="P16" s="13">
        <f t="shared" si="4"/>
        <v>0.8185760437</v>
      </c>
    </row>
    <row r="17">
      <c r="A17" s="4" t="s">
        <v>15</v>
      </c>
      <c r="B17" s="5">
        <f>LN('Rata-rata gaji tahunan per sekt'!B16)</f>
        <v>14.9503548</v>
      </c>
      <c r="C17" s="5">
        <f>LN('Rata-rata gaji tahunan per sekt'!C16)</f>
        <v>15.02023028</v>
      </c>
      <c r="D17" s="5">
        <f>LN('Rata-rata gaji tahunan per sekt'!D16)</f>
        <v>15.18481516</v>
      </c>
      <c r="E17" s="5">
        <f>LN('Rata-rata gaji tahunan per sekt'!E16)</f>
        <v>15.16064198</v>
      </c>
      <c r="F17" s="5">
        <f>LN('Rata-rata gaji tahunan per sekt'!F16)</f>
        <v>15.16922827</v>
      </c>
      <c r="G17" s="5">
        <f>LN('Rata-rata gaji tahunan per sekt'!G16)</f>
        <v>15.17290738</v>
      </c>
      <c r="H17" s="5">
        <f>LN('Rata-rata gaji tahunan per sekt'!H16)</f>
        <v>15.17814829</v>
      </c>
      <c r="I17" s="5">
        <f>LN('Rata-rata gaji tahunan per sekt'!I16)</f>
        <v>15.17678553</v>
      </c>
      <c r="J17" s="5">
        <f>LN('Rata-rata gaji tahunan per sekt'!J16)</f>
        <v>15.18251863</v>
      </c>
      <c r="K17" s="5">
        <f>LN('Rata-rata gaji tahunan per sekt'!K16)</f>
        <v>15.17977197</v>
      </c>
      <c r="L17" s="5">
        <f>LN('Rata-rata gaji tahunan per sekt'!L16)</f>
        <v>15.22471643</v>
      </c>
      <c r="M17" s="13">
        <f t="shared" si="1"/>
        <v>0.01858447661</v>
      </c>
      <c r="N17" s="13">
        <f t="shared" si="2"/>
        <v>0.01875824278</v>
      </c>
      <c r="O17" s="13">
        <f t="shared" si="3"/>
        <v>1.875824278</v>
      </c>
      <c r="P17" s="13">
        <f t="shared" si="4"/>
        <v>0.560949753</v>
      </c>
    </row>
    <row r="18">
      <c r="A18" s="4" t="s">
        <v>16</v>
      </c>
      <c r="B18" s="5">
        <f>LN('Rata-rata gaji tahunan per sekt'!B17)</f>
        <v>14.64048875</v>
      </c>
      <c r="C18" s="5">
        <f>LN('Rata-rata gaji tahunan per sekt'!C17)</f>
        <v>14.73070108</v>
      </c>
      <c r="D18" s="5">
        <f>LN('Rata-rata gaji tahunan per sekt'!D17)</f>
        <v>14.85550914</v>
      </c>
      <c r="E18" s="5">
        <f>LN('Rata-rata gaji tahunan per sekt'!E17)</f>
        <v>14.8327989</v>
      </c>
      <c r="F18" s="5">
        <f>LN('Rata-rata gaji tahunan per sekt'!F17)</f>
        <v>14.80987652</v>
      </c>
      <c r="G18" s="5">
        <f>LN('Rata-rata gaji tahunan per sekt'!G17)</f>
        <v>14.81149526</v>
      </c>
      <c r="H18" s="5">
        <f>LN('Rata-rata gaji tahunan per sekt'!H17)</f>
        <v>14.78613681</v>
      </c>
      <c r="I18" s="5">
        <f>LN('Rata-rata gaji tahunan per sekt'!I17)</f>
        <v>14.77205647</v>
      </c>
      <c r="J18" s="5">
        <f>LN('Rata-rata gaji tahunan per sekt'!J17)</f>
        <v>14.76687225</v>
      </c>
      <c r="K18" s="5">
        <f>LN('Rata-rata gaji tahunan per sekt'!K17)</f>
        <v>14.86319861</v>
      </c>
      <c r="L18" s="5">
        <f>LN('Rata-rata gaji tahunan per sekt'!L17)</f>
        <v>14.88793047</v>
      </c>
      <c r="M18" s="13">
        <f t="shared" si="1"/>
        <v>0.01232784945</v>
      </c>
      <c r="N18" s="13">
        <f t="shared" si="2"/>
        <v>0.01240415061</v>
      </c>
      <c r="O18" s="13">
        <f t="shared" si="3"/>
        <v>1.240415061</v>
      </c>
      <c r="P18" s="14">
        <f t="shared" si="4"/>
        <v>0.3463900903</v>
      </c>
    </row>
    <row r="19">
      <c r="A19" s="4" t="s">
        <v>17</v>
      </c>
      <c r="B19" s="5">
        <f>LN('Rata-rata gaji tahunan per sekt'!B18)</f>
        <v>14.79359643</v>
      </c>
      <c r="C19" s="5">
        <f>LN('Rata-rata gaji tahunan per sekt'!C18)</f>
        <v>14.7896671</v>
      </c>
      <c r="D19" s="5">
        <f>LN('Rata-rata gaji tahunan per sekt'!D18)</f>
        <v>14.94552267</v>
      </c>
      <c r="E19" s="5">
        <f>LN('Rata-rata gaji tahunan per sekt'!E18)</f>
        <v>14.96658373</v>
      </c>
      <c r="F19" s="5">
        <f>LN('Rata-rata gaji tahunan per sekt'!F18)</f>
        <v>15.03242989</v>
      </c>
      <c r="G19" s="5">
        <f>LN('Rata-rata gaji tahunan per sekt'!G18)</f>
        <v>15.01471903</v>
      </c>
      <c r="H19" s="5">
        <f>LN('Rata-rata gaji tahunan per sekt'!H18)</f>
        <v>15.01724366</v>
      </c>
      <c r="I19" s="5">
        <f>LN('Rata-rata gaji tahunan per sekt'!I18)</f>
        <v>15.0671938</v>
      </c>
      <c r="J19" s="5">
        <f>LN('Rata-rata gaji tahunan per sekt'!J18)</f>
        <v>15.10030638</v>
      </c>
      <c r="K19" s="5">
        <f>LN('Rata-rata gaji tahunan per sekt'!K18)</f>
        <v>15.08982728</v>
      </c>
      <c r="L19" s="5">
        <f>LN('Rata-rata gaji tahunan per sekt'!L18)</f>
        <v>15.09175844</v>
      </c>
      <c r="M19" s="13">
        <f t="shared" si="1"/>
        <v>0.03038032589</v>
      </c>
      <c r="N19" s="13">
        <f t="shared" si="2"/>
        <v>0.03084651703</v>
      </c>
      <c r="O19" s="13">
        <f t="shared" si="3"/>
        <v>3.084651703</v>
      </c>
      <c r="P19" s="13">
        <f t="shared" si="4"/>
        <v>0.8267454363</v>
      </c>
    </row>
    <row r="20">
      <c r="A20" s="4" t="s">
        <v>18</v>
      </c>
      <c r="B20" s="5">
        <f>LN('Rata-rata gaji tahunan per sekt'!B19)</f>
        <v>13.84225959</v>
      </c>
      <c r="C20" s="5">
        <f>LN('Rata-rata gaji tahunan per sekt'!C19)</f>
        <v>14.12904457</v>
      </c>
      <c r="D20" s="5">
        <f>LN('Rata-rata gaji tahunan per sekt'!D19)</f>
        <v>14.27322397</v>
      </c>
      <c r="E20" s="5">
        <f>LN('Rata-rata gaji tahunan per sekt'!E19)</f>
        <v>14.24239463</v>
      </c>
      <c r="F20" s="5">
        <f>LN('Rata-rata gaji tahunan per sekt'!F19)</f>
        <v>14.36044771</v>
      </c>
      <c r="G20" s="5">
        <f>LN('Rata-rata gaji tahunan per sekt'!G19)</f>
        <v>14.3467257</v>
      </c>
      <c r="H20" s="5">
        <f>LN('Rata-rata gaji tahunan per sekt'!H19)</f>
        <v>14.31891693</v>
      </c>
      <c r="I20" s="5">
        <f>LN('Rata-rata gaji tahunan per sekt'!I19)</f>
        <v>14.39397502</v>
      </c>
      <c r="J20" s="5">
        <f>LN('Rata-rata gaji tahunan per sekt'!J19)</f>
        <v>14.41969373</v>
      </c>
      <c r="K20" s="5">
        <f>LN('Rata-rata gaji tahunan per sekt'!K19)</f>
        <v>14.44073001</v>
      </c>
      <c r="L20" s="5">
        <f>LN('Rata-rata gaji tahunan per sekt'!L19)</f>
        <v>14.45119757</v>
      </c>
      <c r="M20" s="13">
        <f t="shared" si="1"/>
        <v>0.04538609945</v>
      </c>
      <c r="N20" s="13">
        <f t="shared" si="2"/>
        <v>0.04643180867</v>
      </c>
      <c r="O20" s="13">
        <f t="shared" si="3"/>
        <v>4.643180867</v>
      </c>
      <c r="P20" s="13">
        <f t="shared" si="4"/>
        <v>0.721152367</v>
      </c>
    </row>
    <row r="21">
      <c r="A21" s="4" t="s">
        <v>19</v>
      </c>
      <c r="B21" s="5">
        <f>LN('Rata-rata gaji tahunan per sekt'!B20)</f>
        <v>14.52133504</v>
      </c>
      <c r="C21" s="5">
        <f>LN('Rata-rata gaji tahunan per sekt'!C20)</f>
        <v>14.67703671</v>
      </c>
      <c r="D21" s="5">
        <f>LN('Rata-rata gaji tahunan per sekt'!D20)</f>
        <v>14.81710007</v>
      </c>
      <c r="E21" s="5">
        <f>LN('Rata-rata gaji tahunan per sekt'!E20)</f>
        <v>14.82405225</v>
      </c>
      <c r="F21" s="5">
        <f>LN('Rata-rata gaji tahunan per sekt'!F20)</f>
        <v>14.86377893</v>
      </c>
      <c r="G21" s="5">
        <f>LN('Rata-rata gaji tahunan per sekt'!G20)</f>
        <v>14.85822987</v>
      </c>
      <c r="H21" s="5">
        <f>LN('Rata-rata gaji tahunan per sekt'!H20)</f>
        <v>14.84461091</v>
      </c>
      <c r="I21" s="5">
        <f>LN('Rata-rata gaji tahunan per sekt'!I20)</f>
        <v>14.90798639</v>
      </c>
      <c r="J21" s="5">
        <f>LN('Rata-rata gaji tahunan per sekt'!J20)</f>
        <v>14.93437766</v>
      </c>
      <c r="K21" s="5">
        <f>LN('Rata-rata gaji tahunan per sekt'!K20)</f>
        <v>14.96423563</v>
      </c>
      <c r="L21" s="5">
        <f>LN('Rata-rata gaji tahunan per sekt'!L20)</f>
        <v>14.98268918</v>
      </c>
      <c r="M21" s="13">
        <f t="shared" si="1"/>
        <v>0.03596454004</v>
      </c>
      <c r="N21" s="13">
        <f t="shared" si="2"/>
        <v>0.03661908737</v>
      </c>
      <c r="O21" s="13">
        <f t="shared" si="3"/>
        <v>3.661908737</v>
      </c>
      <c r="P21" s="13">
        <f t="shared" si="4"/>
        <v>0.7950981716</v>
      </c>
    </row>
  </sheetData>
  <mergeCells count="6">
    <mergeCell ref="A1:A2"/>
    <mergeCell ref="B1:L1"/>
    <mergeCell ref="M2:M3"/>
    <mergeCell ref="N2:N3"/>
    <mergeCell ref="O2:O3"/>
    <mergeCell ref="P2:P3"/>
  </mergeCells>
  <drawing r:id="rId1"/>
</worksheet>
</file>